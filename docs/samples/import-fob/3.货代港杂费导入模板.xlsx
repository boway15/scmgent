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<sst xmlns="http://schemas.openxmlformats.org/spreadsheetml/2006/main" count="35" uniqueCount="35">
  <si>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货柜号</t>
  </si>
  <si>
    <t>业务编号</t>
  </si>
  <si>
    <t>提单号</t>
  </si>
  <si>
    <t>起始港</t>
  </si>
  <si>
    <t>船公司</t>
  </si>
  <si>
    <t>进港时间</t>
  </si>
  <si>
    <t>ORC</t>
  </si>
  <si>
    <t>文件费</t>
  </si>
  <si>
    <t>封条费</t>
  </si>
  <si>
    <t>打单费</t>
  </si>
  <si>
    <t>电放费</t>
  </si>
  <si>
    <t>VGM</t>
  </si>
  <si>
    <t>ISPS</t>
  </si>
  <si>
    <t>订舱</t>
  </si>
  <si>
    <t>转关打单</t>
  </si>
  <si>
    <t>舱单费/舱单预录费</t>
  </si>
  <si>
    <t>港杂费</t>
  </si>
  <si>
    <t>箱单费</t>
  </si>
  <si>
    <t>排载申报费</t>
  </si>
  <si>
    <t>刷申报费</t>
  </si>
  <si>
    <t>青岛港提箱费+安保+场站+港杂+提箱+综合服务费</t>
  </si>
  <si>
    <t>操作费</t>
  </si>
  <si>
    <t>Handing</t>
  </si>
  <si>
    <t>EDI</t>
  </si>
  <si>
    <t>EIR</t>
  </si>
  <si>
    <t>退载费</t>
  </si>
  <si>
    <t>转船费</t>
  </si>
  <si>
    <t>改单费</t>
  </si>
  <si>
    <t>出口服务费</t>
  </si>
  <si>
    <t>WHSU8817230</t>
  </si>
  <si>
    <t>TLLU8928846</t>
  </si>
  <si>
    <t>TLLU8926666</t>
  </si>
  <si>
    <t>TLLU8928888</t>
  </si>
  <si>
    <t>TLLU8925555</t>
  </si>
  <si>
    <t>TLLU8929999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</si>
</sst>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9"/>
      <name val="微软雅黑"/>
      <charset val="0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topLeftCell="X1" workbookViewId="0">
      <selection activeCell="G6" sqref="G6:AC7"/>
    </sheetView>
  </sheetViews>
  <sheetFormatPr defaultColWidth="9" defaultRowHeight="14.4" outlineLevelRow="6"/>
  <cols>
    <col min="1" max="16353" width="9" style="2"/>
  </cols>
  <sheetData>
    <row r="1" s="1" customFormat="1" ht="21" customHeight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/>
      <c r="AE1" s="4"/>
      <c r="AF1" s="4"/>
      <c r="AG1" s="4"/>
    </row>
    <row r="2" spans="1:33">
      <c r="A2" t="s">
        <v>29</v>
      </c>
      <c r="G2" s="2">
        <v>300</v>
      </c>
      <c r="H2" s="2">
        <v>301</v>
      </c>
      <c r="I2" s="2">
        <v>302</v>
      </c>
      <c r="J2" s="2">
        <v>303</v>
      </c>
      <c r="K2" s="2">
        <v>304</v>
      </c>
      <c r="L2" s="2">
        <v>305</v>
      </c>
      <c r="M2" s="2">
        <v>306</v>
      </c>
      <c r="N2" s="2">
        <v>307</v>
      </c>
      <c r="O2" s="2">
        <v>308</v>
      </c>
      <c r="P2" s="2">
        <v>309</v>
      </c>
      <c r="Q2" s="2">
        <v>310</v>
      </c>
      <c r="R2" s="2">
        <v>311</v>
      </c>
      <c r="S2" s="2">
        <v>312</v>
      </c>
      <c r="T2" s="2">
        <v>313</v>
      </c>
      <c r="U2" s="2">
        <v>314</v>
      </c>
      <c r="V2" s="2">
        <v>315</v>
      </c>
      <c r="W2" s="2">
        <v>316</v>
      </c>
      <c r="X2" s="2">
        <v>317</v>
      </c>
      <c r="Y2" s="2">
        <v>318</v>
      </c>
      <c r="Z2" s="2">
        <v>319</v>
      </c>
      <c r="AA2" s="2">
        <v>320</v>
      </c>
      <c r="AB2" s="2">
        <v>321</v>
      </c>
      <c r="AC2" s="2">
        <v>322</v>
      </c>
    </row>
    <row r="3" spans="1:33">
      <c r="A3" t="s">
        <v>30</v>
      </c>
      <c r="G3" s="2">
        <v>400</v>
      </c>
      <c r="H3" s="2">
        <v>401</v>
      </c>
      <c r="I3" s="2">
        <v>402</v>
      </c>
      <c r="J3" s="2">
        <v>403</v>
      </c>
      <c r="K3" s="2">
        <v>404</v>
      </c>
      <c r="L3" s="2">
        <v>405</v>
      </c>
      <c r="M3" s="2">
        <v>406</v>
      </c>
      <c r="N3" s="2">
        <v>407</v>
      </c>
      <c r="O3" s="2">
        <v>408</v>
      </c>
      <c r="P3" s="2">
        <v>409</v>
      </c>
      <c r="Q3" s="2">
        <v>410</v>
      </c>
      <c r="R3" s="2">
        <v>411</v>
      </c>
      <c r="S3" s="2">
        <v>412</v>
      </c>
      <c r="T3" s="2">
        <v>413</v>
      </c>
      <c r="U3" s="2">
        <v>414</v>
      </c>
      <c r="V3" s="2">
        <v>415</v>
      </c>
      <c r="W3" s="2">
        <v>416</v>
      </c>
      <c r="X3" s="2">
        <v>417</v>
      </c>
      <c r="Y3" s="2">
        <v>418</v>
      </c>
      <c r="Z3" s="2">
        <v>419</v>
      </c>
      <c r="AA3" s="2">
        <v>420</v>
      </c>
      <c r="AB3" s="2">
        <v>421</v>
      </c>
      <c r="AC3" s="2">
        <v>422</v>
      </c>
    </row>
    <row r="4" spans="1:33">
      <c r="A4" t="s">
        <v>31</v>
      </c>
      <c r="G4" s="2">
        <v>500</v>
      </c>
      <c r="H4" s="2">
        <v>501</v>
      </c>
      <c r="I4" s="2">
        <v>502</v>
      </c>
      <c r="J4" s="2">
        <v>503</v>
      </c>
      <c r="K4" s="2">
        <v>504</v>
      </c>
      <c r="L4" s="2">
        <v>505</v>
      </c>
      <c r="M4" s="2">
        <v>506</v>
      </c>
      <c r="N4" s="2">
        <v>507</v>
      </c>
      <c r="O4" s="2">
        <v>508</v>
      </c>
      <c r="P4" s="2">
        <v>509</v>
      </c>
      <c r="Q4" s="2">
        <v>510</v>
      </c>
      <c r="R4" s="2">
        <v>511</v>
      </c>
      <c r="S4" s="2">
        <v>512</v>
      </c>
      <c r="T4" s="2">
        <v>513</v>
      </c>
      <c r="U4" s="2">
        <v>514</v>
      </c>
      <c r="V4" s="2">
        <v>515</v>
      </c>
      <c r="W4" s="2">
        <v>516</v>
      </c>
      <c r="X4" s="2">
        <v>517</v>
      </c>
      <c r="Y4" s="2">
        <v>518</v>
      </c>
      <c r="Z4" s="2">
        <v>519</v>
      </c>
      <c r="AA4" s="2">
        <v>520</v>
      </c>
      <c r="AB4" s="2">
        <v>521</v>
      </c>
      <c r="AC4" s="2">
        <v>522</v>
      </c>
    </row>
    <row r="5" spans="1:33">
      <c r="A5" t="s">
        <v>32</v>
      </c>
      <c r="G5" s="2">
        <v>600</v>
      </c>
      <c r="H5" s="2">
        <v>601</v>
      </c>
      <c r="I5" s="2">
        <v>602</v>
      </c>
      <c r="J5" s="2">
        <v>603</v>
      </c>
      <c r="K5" s="2">
        <v>604</v>
      </c>
      <c r="L5" s="2">
        <v>605</v>
      </c>
      <c r="M5" s="2">
        <v>606</v>
      </c>
      <c r="N5" s="2">
        <v>607</v>
      </c>
      <c r="O5" s="2">
        <v>608</v>
      </c>
      <c r="P5" s="2">
        <v>609</v>
      </c>
      <c r="Q5" s="2">
        <v>610</v>
      </c>
      <c r="R5" s="2">
        <v>611</v>
      </c>
      <c r="S5" s="2">
        <v>612</v>
      </c>
      <c r="T5" s="2">
        <v>613</v>
      </c>
      <c r="U5" s="2">
        <v>614</v>
      </c>
      <c r="V5" s="2">
        <v>615</v>
      </c>
      <c r="W5" s="2">
        <v>616</v>
      </c>
      <c r="X5" s="2">
        <v>617</v>
      </c>
      <c r="Y5" s="2">
        <v>618</v>
      </c>
      <c r="Z5" s="2">
        <v>619</v>
      </c>
      <c r="AA5" s="2">
        <v>620</v>
      </c>
      <c r="AB5" s="2">
        <v>621</v>
      </c>
      <c r="AC5" s="2">
        <v>622</v>
      </c>
    </row>
    <row r="6" spans="1:33">
      <c r="A6" s="5" t="s">
        <v>33</v>
      </c>
      <c r="G6" s="2">
        <v>350</v>
      </c>
      <c r="H6" s="2">
        <v>351</v>
      </c>
      <c r="I6" s="2">
        <v>352</v>
      </c>
      <c r="J6" s="2">
        <v>353</v>
      </c>
      <c r="K6" s="2">
        <v>354</v>
      </c>
      <c r="L6" s="2">
        <v>355</v>
      </c>
      <c r="M6" s="2">
        <v>356</v>
      </c>
      <c r="N6" s="2">
        <v>357</v>
      </c>
      <c r="O6" s="2">
        <v>358</v>
      </c>
      <c r="P6" s="2">
        <v>359</v>
      </c>
      <c r="Q6" s="2">
        <v>360</v>
      </c>
      <c r="R6" s="2">
        <v>361</v>
      </c>
      <c r="S6" s="2">
        <v>362</v>
      </c>
      <c r="T6" s="2">
        <v>363</v>
      </c>
      <c r="U6" s="2">
        <v>364</v>
      </c>
      <c r="V6" s="2">
        <v>365</v>
      </c>
      <c r="W6" s="2">
        <v>366</v>
      </c>
      <c r="X6" s="2">
        <v>367</v>
      </c>
      <c r="Y6" s="2">
        <v>368</v>
      </c>
      <c r="Z6" s="2">
        <v>369</v>
      </c>
      <c r="AA6" s="2">
        <v>370</v>
      </c>
      <c r="AB6" s="2">
        <v>371</v>
      </c>
      <c r="AC6" s="2">
        <v>372</v>
      </c>
    </row>
    <row r="7" spans="1:33">
      <c r="A7" s="5" t="s">
        <v>34</v>
      </c>
      <c r="G7" s="2">
        <v>351</v>
      </c>
      <c r="H7" s="2">
        <v>352</v>
      </c>
      <c r="I7" s="2">
        <v>353</v>
      </c>
      <c r="J7" s="2">
        <v>354</v>
      </c>
      <c r="K7" s="2">
        <v>355</v>
      </c>
      <c r="L7" s="2">
        <v>356</v>
      </c>
      <c r="M7" s="2">
        <v>357</v>
      </c>
      <c r="N7" s="2">
        <v>358</v>
      </c>
      <c r="O7" s="2">
        <v>359</v>
      </c>
      <c r="P7" s="2">
        <v>360</v>
      </c>
      <c r="Q7" s="2">
        <v>361</v>
      </c>
      <c r="R7" s="2">
        <v>362</v>
      </c>
      <c r="S7" s="2">
        <v>363</v>
      </c>
      <c r="T7" s="2">
        <v>364</v>
      </c>
      <c r="U7" s="2">
        <v>365</v>
      </c>
      <c r="V7" s="2">
        <v>366</v>
      </c>
      <c r="W7" s="2">
        <v>367</v>
      </c>
      <c r="X7" s="2">
        <v>368</v>
      </c>
      <c r="Y7" s="2">
        <v>369</v>
      </c>
      <c r="Z7" s="2">
        <v>370</v>
      </c>
      <c r="AA7" s="2">
        <v>371</v>
      </c>
      <c r="AB7" s="2">
        <v>372</v>
      </c>
      <c r="AC7" s="2">
        <v>373</v>
      </c>
    </row>
  </sheetData>
  <conditionalFormatting sqref="C1">
    <cfRule type="expression" dxfId="0" priority="3">
      <formula>AND(SUMPRODUCT(IFERROR(1*(($C$1&amp;"x")=(C1&amp;"x")),0))&gt;1,NOT(ISBLANK(C1)))</formula>
    </cfRule>
  </conditionalFormatting>
  <conditionalFormatting sqref="D1">
    <cfRule type="expression" dxfId="0" priority="2">
      <formula>AND(SUMPRODUCT(IFERROR(1*(($D$1&amp;"x")=(D1&amp;"x")),0))&gt;1,NOT(ISBLANK(D1)))</formula>
    </cfRule>
  </conditionalFormatting>
  <conditionalFormatting sqref="AA1">
    <cfRule type="expression" dxfId="0" priority="7">
      <formula>AND(SUMPRODUCT(IFERROR(1*(($AA$1&amp;"x")=(AA1&amp;"x")),0))&gt;1,NOT(ISBLANK(AA1)))</formula>
    </cfRule>
  </conditionalFormatting>
  <conditionalFormatting sqref="AC1:AG1">
    <cfRule type="expression" dxfId="0" priority="5">
      <formula>AND(SUMPRODUCT(IFERROR(1*(($AC$1:$AG$1&amp;"x")=(AC1&amp;"x")),0))&gt;1,NOT(ISBLANK(AC1)))</formula>
    </cfRule>
  </conditionalFormatting>
  <conditionalFormatting sqref="A1:B1 E1:F1">
    <cfRule type="expression" dxfId="0" priority="4">
      <formula>AND(SUMPRODUCT(IFERROR(1*(($A$1:$B$1&amp;"x")=(A1&amp;"x")),0))+SUMPRODUCT(IFERROR(1*(($E$1:$F$1&amp;"x")=(A1&amp;"x")),0))&gt;1,NOT(ISBLANK(A1)))</formula>
    </cfRule>
  </conditionalFormatting>
  <conditionalFormatting sqref="G1:Z1 AB1">
    <cfRule type="expression" dxfId="0" priority="11">
      <formula>AND(SUMPRODUCT(IFERROR(1*(($G$1:$Z$1&amp;"x")=(G1&amp;"x")),0))+SUMPRODUCT(IFERROR(1*(($AB$1&amp;"x")=(G1&amp;"x")),0))&gt;1,NOT(ISBLANK(G1)))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boway</cp:lastModifiedBy>
  <dcterms:created xsi:type="dcterms:W3CDTF">2026-06-10T09:29:00Z</dcterms:created>
  <dcterms:modified xsi:type="dcterms:W3CDTF">2026-06-12T01:34:56Z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60E840DD63B843898450DA22F3F7B97E_11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